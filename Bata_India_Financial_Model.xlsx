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madar\OneDrive\Documents\"/>
    </mc:Choice>
  </mc:AlternateContent>
  <xr:revisionPtr revIDLastSave="0" documentId="13_ncr:2001_{47832526-8301-449C-B54E-B794635A47DB}" xr6:coauthVersionLast="47" xr6:coauthVersionMax="47" xr10:uidLastSave="{00000000-0000-0000-0000-000000000000}"/>
  <bookViews>
    <workbookView xWindow="-108" yWindow="-108" windowWidth="23256" windowHeight="12456" xr2:uid="{339743F5-5E45-4655-8F02-5161A1F2497C}"/>
  </bookViews>
  <sheets>
    <sheet name="Investment summary" sheetId="6" r:id="rId1"/>
    <sheet name="P&amp;L" sheetId="1" r:id="rId2"/>
    <sheet name="Balance Sheet" sheetId="2" r:id="rId3"/>
    <sheet name="Cash flow" sheetId="3" r:id="rId4"/>
    <sheet name="Assumptions" sheetId="4" r:id="rId5"/>
    <sheet name="DCF" sheetId="5" r:id="rId6"/>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1" i="1" l="1"/>
  <c r="J11" i="1"/>
  <c r="I11" i="1"/>
  <c r="H11" i="1"/>
  <c r="E2" i="4"/>
  <c r="C12" i="1"/>
  <c r="F2" i="4"/>
  <c r="D2" i="4"/>
  <c r="C2" i="4"/>
  <c r="B2" i="4"/>
  <c r="G2" i="1" s="1"/>
  <c r="G7" i="1" s="1"/>
  <c r="B6" i="5" s="1"/>
  <c r="B7" i="5" s="1"/>
  <c r="G11" i="1"/>
  <c r="F5" i="3"/>
  <c r="E5" i="3"/>
  <c r="D5" i="3"/>
  <c r="C5" i="3"/>
  <c r="B5" i="3"/>
  <c r="F13" i="2"/>
  <c r="E13" i="2"/>
  <c r="D13" i="2"/>
  <c r="C13" i="2"/>
  <c r="B13" i="2"/>
  <c r="F7" i="2"/>
  <c r="E7" i="2"/>
  <c r="D7" i="2"/>
  <c r="C7" i="2"/>
  <c r="B7" i="2"/>
  <c r="F4" i="2"/>
  <c r="E4" i="2"/>
  <c r="D4" i="2"/>
  <c r="C4" i="2"/>
  <c r="B4" i="2"/>
  <c r="F15" i="1"/>
  <c r="F12" i="1"/>
  <c r="F13" i="1" s="1"/>
  <c r="F8" i="1"/>
  <c r="F5" i="1"/>
  <c r="F4" i="1"/>
  <c r="E15" i="1"/>
  <c r="E12" i="1"/>
  <c r="E13" i="1" s="1"/>
  <c r="E8" i="1"/>
  <c r="E5" i="1"/>
  <c r="E4" i="1"/>
  <c r="D15" i="1"/>
  <c r="C13" i="1"/>
  <c r="B13" i="1"/>
  <c r="D12" i="1"/>
  <c r="D13" i="1" s="1"/>
  <c r="D8" i="1"/>
  <c r="D5" i="1"/>
  <c r="D4" i="1"/>
  <c r="C15" i="1"/>
  <c r="B12" i="1"/>
  <c r="C8" i="1"/>
  <c r="C5" i="1"/>
  <c r="C4" i="1"/>
  <c r="B15" i="1"/>
  <c r="B4" i="1"/>
  <c r="B8" i="1"/>
  <c r="B5" i="1"/>
  <c r="G4" i="1" l="1"/>
  <c r="G3" i="1" s="1"/>
  <c r="H2" i="1"/>
  <c r="H4" i="1"/>
  <c r="H7" i="1" l="1"/>
  <c r="C6" i="5" s="1"/>
  <c r="C7" i="5" s="1"/>
  <c r="I2" i="1"/>
  <c r="H5" i="1"/>
  <c r="H3" i="1"/>
  <c r="G5" i="1"/>
  <c r="G8" i="1"/>
  <c r="J2" i="1" l="1"/>
  <c r="I4" i="1"/>
  <c r="I3" i="1" s="1"/>
  <c r="I7" i="1"/>
  <c r="D6" i="5" s="1"/>
  <c r="D7" i="5" s="1"/>
  <c r="H8" i="1"/>
  <c r="G12" i="1"/>
  <c r="B3" i="5"/>
  <c r="B4" i="5" s="1"/>
  <c r="B5" i="5" s="1"/>
  <c r="B8" i="5" s="1"/>
  <c r="H12" i="1" l="1"/>
  <c r="H13" i="1" s="1"/>
  <c r="H14" i="1" s="1"/>
  <c r="H15" i="1" s="1"/>
  <c r="C3" i="5"/>
  <c r="C4" i="5" s="1"/>
  <c r="C5" i="5" s="1"/>
  <c r="C8" i="5" s="1"/>
  <c r="I8" i="1"/>
  <c r="I5" i="1"/>
  <c r="J7" i="1"/>
  <c r="E6" i="5" s="1"/>
  <c r="E7" i="5" s="1"/>
  <c r="K2" i="1"/>
  <c r="J4" i="1"/>
  <c r="J3" i="1" s="1"/>
  <c r="G13" i="1"/>
  <c r="G14" i="1" s="1"/>
  <c r="G15" i="1" s="1"/>
  <c r="J5" i="1" l="1"/>
  <c r="J8" i="1"/>
  <c r="K7" i="1"/>
  <c r="F6" i="5" s="1"/>
  <c r="F7" i="5" s="1"/>
  <c r="K4" i="1"/>
  <c r="K3" i="1" s="1"/>
  <c r="I12" i="1"/>
  <c r="I13" i="1" s="1"/>
  <c r="I14" i="1" s="1"/>
  <c r="I15" i="1" s="1"/>
  <c r="D3" i="5"/>
  <c r="D4" i="5" s="1"/>
  <c r="D5" i="5" s="1"/>
  <c r="D8" i="5" s="1"/>
  <c r="K8" i="1" l="1"/>
  <c r="K5" i="1"/>
  <c r="J12" i="1"/>
  <c r="J13" i="1" s="1"/>
  <c r="J14" i="1" s="1"/>
  <c r="J15" i="1" s="1"/>
  <c r="E3" i="5"/>
  <c r="E4" i="5" s="1"/>
  <c r="E5" i="5" s="1"/>
  <c r="E8" i="5" s="1"/>
  <c r="C26" i="5"/>
  <c r="D26" i="5"/>
  <c r="K12" i="1" l="1"/>
  <c r="K13" i="1" s="1"/>
  <c r="K14" i="1" s="1"/>
  <c r="K15" i="1" s="1"/>
  <c r="F3" i="5"/>
  <c r="F4" i="5" l="1"/>
  <c r="F5" i="5" s="1"/>
  <c r="F8" i="5" s="1"/>
  <c r="E29" i="5" l="1"/>
  <c r="E26" i="5"/>
  <c r="D29" i="5"/>
  <c r="B26" i="5"/>
  <c r="C29" i="5"/>
  <c r="B13" i="5"/>
  <c r="B14" i="5" s="1"/>
  <c r="B29" i="5"/>
  <c r="E28" i="5"/>
  <c r="D28" i="5"/>
  <c r="C28" i="5"/>
  <c r="B28" i="5"/>
  <c r="E27" i="5"/>
  <c r="D27" i="5"/>
  <c r="C27" i="5"/>
  <c r="B27" i="5"/>
  <c r="B15" i="5"/>
  <c r="B16" i="5" l="1"/>
  <c r="B18" i="5" s="1"/>
  <c r="B20" i="5" s="1"/>
</calcChain>
</file>

<file path=xl/sharedStrings.xml><?xml version="1.0" encoding="utf-8"?>
<sst xmlns="http://schemas.openxmlformats.org/spreadsheetml/2006/main" count="158" uniqueCount="134">
  <si>
    <t>FY21</t>
  </si>
  <si>
    <t>FY22</t>
  </si>
  <si>
    <t xml:space="preserve"> FY23</t>
  </si>
  <si>
    <t>FY24</t>
  </si>
  <si>
    <t>FY25</t>
  </si>
  <si>
    <t>Other Income</t>
  </si>
  <si>
    <t>EBIT</t>
  </si>
  <si>
    <t>Profit Before Tax (PBT)</t>
  </si>
  <si>
    <t>Tax</t>
  </si>
  <si>
    <t>Net Profit (PAT)</t>
  </si>
  <si>
    <t>PAT Margin %</t>
  </si>
  <si>
    <t>Revenue (Sales)</t>
  </si>
  <si>
    <t>Expenses</t>
  </si>
  <si>
    <t xml:space="preserve"> EBITDA</t>
  </si>
  <si>
    <t xml:space="preserve"> EBITDA Margin %</t>
  </si>
  <si>
    <t xml:space="preserve"> Depreciation</t>
  </si>
  <si>
    <t xml:space="preserve"> EBIT</t>
  </si>
  <si>
    <t>Interest</t>
  </si>
  <si>
    <t>EPS</t>
  </si>
  <si>
    <t>Total Liabilities</t>
  </si>
  <si>
    <t xml:space="preserve"> Fixed Assets</t>
  </si>
  <si>
    <t xml:space="preserve"> CWIP</t>
  </si>
  <si>
    <t xml:space="preserve"> Investments</t>
  </si>
  <si>
    <t xml:space="preserve"> Other Assets</t>
  </si>
  <si>
    <t xml:space="preserve"> Total Assets</t>
  </si>
  <si>
    <t xml:space="preserve"> Equity Capital</t>
  </si>
  <si>
    <t xml:space="preserve"> Reserves</t>
  </si>
  <si>
    <t xml:space="preserve"> Total Equity</t>
  </si>
  <si>
    <t xml:space="preserve"> Borrowings</t>
  </si>
  <si>
    <t xml:space="preserve"> Other Liabilities</t>
  </si>
  <si>
    <t>FY23</t>
  </si>
  <si>
    <t>Cash from Operations</t>
  </si>
  <si>
    <t>Cash from Investing</t>
  </si>
  <si>
    <t>Cash from Financing</t>
  </si>
  <si>
    <t>Net Cash Flow</t>
  </si>
  <si>
    <t xml:space="preserve"> ASSUMPTIONS</t>
  </si>
  <si>
    <t xml:space="preserve"> Depreciation (% of Revenue)</t>
  </si>
  <si>
    <t xml:space="preserve"> Tax Rate</t>
  </si>
  <si>
    <t xml:space="preserve"> Interest Cost (fixed ₹ Cr)</t>
  </si>
  <si>
    <t>FY26</t>
  </si>
  <si>
    <t>FY27</t>
  </si>
  <si>
    <t xml:space="preserve"> FY28</t>
  </si>
  <si>
    <t xml:space="preserve"> Revenue Growth %</t>
  </si>
  <si>
    <t>Assumption</t>
  </si>
  <si>
    <t>Reasoning</t>
  </si>
  <si>
    <t>Margin has been stable at 22-23% for 3 consecutive years. No major cost tailwinds or headwinds expected. Holding flat is the most defensible assumption.</t>
  </si>
  <si>
    <t>FY25 depreciation was 371 on revenue 3489 = 10.6%. Bata continues store refurbishments and capex. Slight uptick to 11% accounts for new store additions.</t>
  </si>
  <si>
    <t>Consistent at 25% for FY23, FY24, FY25. No reason to deviate.</t>
  </si>
  <si>
    <t>Borrowings have risen every year (1032 to 1446 over 5 years). Interest rising accordingly. 150 is a slight step up from FY25's 141.</t>
  </si>
  <si>
    <t>FY28</t>
  </si>
  <si>
    <t>Free Cash Flow Calculation</t>
  </si>
  <si>
    <t>Tax on EBIT</t>
  </si>
  <si>
    <t>NOPAT</t>
  </si>
  <si>
    <t>Add: Depreciation</t>
  </si>
  <si>
    <t>Less: Capex</t>
  </si>
  <si>
    <t>Free Cash Flow (FCF)</t>
  </si>
  <si>
    <t>DCF Inputs</t>
  </si>
  <si>
    <t>WACC</t>
  </si>
  <si>
    <t>Terminal Growth Rate</t>
  </si>
  <si>
    <t>Terminal Value</t>
  </si>
  <si>
    <t>PV of Terminal Value</t>
  </si>
  <si>
    <t>PV of FCFs</t>
  </si>
  <si>
    <t>Total Enterprise Value</t>
  </si>
  <si>
    <t>Less: Net Debt</t>
  </si>
  <si>
    <t>Equity Value</t>
  </si>
  <si>
    <t>Shares Outstanding</t>
  </si>
  <si>
    <t>Fair Value Per Share</t>
  </si>
  <si>
    <t xml:space="preserve">WACC:   </t>
  </si>
  <si>
    <t xml:space="preserve">Shares Outstanding:    </t>
  </si>
  <si>
    <t xml:space="preserve">Net Debt:              </t>
  </si>
  <si>
    <t xml:space="preserve">Capex:                 </t>
  </si>
  <si>
    <t xml:space="preserve">Terminal Growth Rate:  </t>
  </si>
  <si>
    <t xml:space="preserve"> 11% - blended cost of capital for mid-cap Indian consumer</t>
  </si>
  <si>
    <t xml:space="preserve"> 5% - conservative, below India nominal GDP growth</t>
  </si>
  <si>
    <t>1246 crore - Borrowings minus estimated cash</t>
  </si>
  <si>
    <t>12.85 crore - derived from Market Cap / CMP</t>
  </si>
  <si>
    <t>WACC / Terminal Growth Rate</t>
  </si>
  <si>
    <t>SENSITIVITY ANALYSIS -Fair Value Per Share</t>
  </si>
  <si>
    <t>Bata India Ltd - Profit &amp; Loss (₹ Crores)</t>
  </si>
  <si>
    <t>Bata India Ltd - Balance Sheet (₹ Crores)</t>
  </si>
  <si>
    <t>Bata India Ltd - Cash Flow Statement (₹ Crores)</t>
  </si>
  <si>
    <t>Bata India Ltd - DCF Valuation (₹ Crores)</t>
  </si>
  <si>
    <t>FY29</t>
  </si>
  <si>
    <t>FY30</t>
  </si>
  <si>
    <t xml:space="preserve"> Store Count Growth % </t>
  </si>
  <si>
    <t xml:space="preserve"> SSSG               </t>
  </si>
  <si>
    <t>FY29-30 Revenue Growth</t>
  </si>
  <si>
    <t>Growth moderating as Bata reaches scale. Tier-2 expansion continues but SSSG plateaus. Step down to 9% in FY30 reflects mature retail cycle.</t>
  </si>
  <si>
    <t>FY29-30 EBITDA Margin 23%</t>
  </si>
  <si>
    <t>Slight improvement from 22% as operating leverage kicks in on higher revenue base. Fixed costs spread over larger topline.</t>
  </si>
  <si>
    <t>115% of Depreciation - store expansion means asset base 
growing, capex slightly ahead of depreciation. Consistent with 
Bata's store addition strategy.</t>
  </si>
  <si>
    <t>Revenue growth derived as (1 + Store Growth) × (1 + SSSG) - 1, 
not assumed directly. FY26: 5% stores × 3% SSSG = 8.15%.</t>
  </si>
  <si>
    <t>Recommendation</t>
  </si>
  <si>
    <t>Upside / Downside</t>
  </si>
  <si>
    <t>SCENARIO ANALYSIS</t>
  </si>
  <si>
    <t>Bull Case (10% WACC, 7% TGR)</t>
  </si>
  <si>
    <t>Base Case (11% WACC, 5% TGR)</t>
  </si>
  <si>
    <t>Bear Case (13% WACC, 4% TGR)</t>
  </si>
  <si>
    <t>KEY DRIVERS</t>
  </si>
  <si>
    <t>KEY RISKS</t>
  </si>
  <si>
    <t>WHAT WOULD MAKE US WRONG</t>
  </si>
  <si>
    <t>BATA INDIA LTD - EQUITY RESEARCH NOTE</t>
  </si>
  <si>
    <t>CMP (Rs)</t>
  </si>
  <si>
    <t>Fair Value (Rs)</t>
  </si>
  <si>
    <t>1. Revenue growth from store expansion (5-6%) and SSSG (3-4%) gives 8-10% blended growth</t>
  </si>
  <si>
    <t>2. EBITDA margins stable at 22-23% with no major cost changes expected</t>
  </si>
  <si>
    <t>3. Capex slightly above depreciation as Bata continues adding stores</t>
  </si>
  <si>
    <t>1. Growth relies on new stores not existing store productivity</t>
  </si>
  <si>
    <t>2. Borrowings have risen from 1032 to 1446 crore over 5 years</t>
  </si>
  <si>
    <t>3. Flat SSSG points to weak brand pull in current market</t>
  </si>
  <si>
    <t>SELL</t>
  </si>
  <si>
    <t>Rs 681 (+8%)</t>
  </si>
  <si>
    <t>Rs 182 (-71%)</t>
  </si>
  <si>
    <t>PEER VALUATION COMPARISON</t>
  </si>
  <si>
    <t>Company</t>
  </si>
  <si>
    <t>Bata India</t>
  </si>
  <si>
    <t>Metro Brands</t>
  </si>
  <si>
    <t>Relaxo</t>
  </si>
  <si>
    <t>CMP</t>
  </si>
  <si>
    <t>P/E</t>
  </si>
  <si>
    <t>EV/EBITDA</t>
  </si>
  <si>
    <t>18x</t>
  </si>
  <si>
    <t>28x</t>
  </si>
  <si>
    <t>22x</t>
  </si>
  <si>
    <t>40.7x</t>
  </si>
  <si>
    <t>62.7x</t>
  </si>
  <si>
    <t>35.3x</t>
  </si>
  <si>
    <t>Rs 314 (-48%)</t>
  </si>
  <si>
    <t>4. Market may be pricing a turnaround. If Bata executes on premiumization and D2C expansion the SELL thesis breaks down.</t>
  </si>
  <si>
    <t>4. At 40.7x P/E market is pricing sustained double digit growth. But growth is store expansion driven not productivity driven. This mismatch between perceived and actual growth quality is the core reason for our SELL call.</t>
  </si>
  <si>
    <t>1. If premiumization drives SSSG above 5 percent, revenue and 
margins could outperform making current valuations reasonable.</t>
  </si>
  <si>
    <t xml:space="preserve">2. Downside is asymmetric. Bull case upside is only 12 percent 
vs base case downside of 48 percent and bear case of 71 percent. 
Risk reward strongly favors the bear case. </t>
  </si>
  <si>
    <t>Bata trades at 40.7x P/E. Metro Brands at 62.7x justifies premium due to stronger ROCE (19.4% vs Bata's 15.1%) and faster growth. Bata's multiple looks stretched given stalling revenue.</t>
  </si>
  <si>
    <t>At 40x P/E Bata trades closer to premium peers despite lower ROCE and slower growth. Market appears to be pricing a successful turnaround. Our model suggests this optimism is overestimated.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</si>
</sst>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sz val="10"/>
      <color theme="1"/>
      <name val="Arial"/>
      <family val="2"/>
    </font>
    <font>
      <b/>
      <u/>
      <sz val="11"/>
      <color theme="1"/>
      <name val="Calibri"/>
      <family val="2"/>
      <scheme val="minor"/>
    </font>
    <font>
      <b/>
      <i/>
      <sz val="11"/>
      <color theme="1"/>
      <name val="Calibri"/>
      <family val="2"/>
      <scheme val="minor"/>
    </font>
    <font>
      <u/>
      <sz val="11"/>
      <color theme="1"/>
      <name val="Calibri"/>
      <family val="2"/>
      <scheme val="minor"/>
    </font>
    <font>
      <sz val="11"/>
      <color rgb="FF9C0006"/>
      <name val="Calibri"/>
      <family val="2"/>
      <scheme val="minor"/>
    </font>
    <font>
      <b/>
      <sz val="14"/>
      <color theme="1"/>
      <name val="Calibri"/>
      <family val="2"/>
      <scheme val="minor"/>
    </font>
    <font>
      <b/>
      <sz val="11"/>
      <name val="Calibri"/>
      <family val="2"/>
      <scheme val="minor"/>
    </font>
  </fonts>
  <fills count="10">
    <fill>
      <patternFill patternType="none"/>
    </fill>
    <fill>
      <patternFill patternType="gray125"/>
    </fill>
    <fill>
      <patternFill patternType="solid">
        <fgColor theme="8" tint="0.79998168889431442"/>
        <bgColor indexed="65"/>
      </patternFill>
    </fill>
    <fill>
      <patternFill patternType="solid">
        <fgColor theme="9" tint="0.79998168889431442"/>
        <bgColor indexed="65"/>
      </patternFill>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C7CE"/>
      </patternFill>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9" fontId="1" fillId="0" borderId="0" applyFont="0" applyFill="0" applyBorder="0" applyAlignment="0" applyProtection="0"/>
    <xf numFmtId="0" fontId="1" fillId="2" borderId="0" applyNumberFormat="0" applyBorder="0" applyAlignment="0" applyProtection="0"/>
    <xf numFmtId="0" fontId="1" fillId="3" borderId="0" applyNumberFormat="0" applyBorder="0" applyAlignment="0" applyProtection="0"/>
    <xf numFmtId="0" fontId="8" fillId="8" borderId="0" applyNumberFormat="0" applyBorder="0" applyAlignment="0" applyProtection="0"/>
  </cellStyleXfs>
  <cellXfs count="42">
    <xf numFmtId="0" fontId="0" fillId="0" borderId="0" xfId="0"/>
    <xf numFmtId="0" fontId="2" fillId="0" borderId="0" xfId="0" applyFont="1"/>
    <xf numFmtId="0" fontId="3" fillId="0" borderId="0" xfId="0" applyFont="1"/>
    <xf numFmtId="0" fontId="4" fillId="0" borderId="0" xfId="0" applyFont="1"/>
    <xf numFmtId="0" fontId="2" fillId="3" borderId="0" xfId="3" applyFont="1" applyAlignment="1">
      <alignment horizontal="center"/>
    </xf>
    <xf numFmtId="0" fontId="5" fillId="0" borderId="0" xfId="0" applyFont="1"/>
    <xf numFmtId="0" fontId="2" fillId="0" borderId="1" xfId="0" applyFont="1" applyBorder="1"/>
    <xf numFmtId="0" fontId="5" fillId="5" borderId="1" xfId="0" applyFont="1" applyFill="1" applyBorder="1"/>
    <xf numFmtId="0" fontId="2" fillId="4" borderId="1" xfId="0" applyFont="1" applyFill="1" applyBorder="1" applyAlignment="1">
      <alignment horizontal="center" wrapText="1"/>
    </xf>
    <xf numFmtId="9" fontId="2" fillId="4" borderId="1" xfId="0" applyNumberFormat="1" applyFont="1" applyFill="1" applyBorder="1"/>
    <xf numFmtId="9" fontId="2" fillId="4" borderId="1" xfId="0" applyNumberFormat="1" applyFont="1" applyFill="1" applyBorder="1" applyAlignment="1">
      <alignment horizontal="center"/>
    </xf>
    <xf numFmtId="0" fontId="0" fillId="0" borderId="1" xfId="0" applyBorder="1"/>
    <xf numFmtId="0" fontId="7" fillId="0" borderId="0" xfId="0" applyFont="1"/>
    <xf numFmtId="0" fontId="2" fillId="2" borderId="1" xfId="2" applyFont="1" applyBorder="1"/>
    <xf numFmtId="0" fontId="2" fillId="3" borderId="1" xfId="3" applyFont="1" applyBorder="1"/>
    <xf numFmtId="1" fontId="0" fillId="0" borderId="1" xfId="0" applyNumberFormat="1" applyBorder="1"/>
    <xf numFmtId="9" fontId="0" fillId="0" borderId="1" xfId="1" applyFont="1" applyBorder="1"/>
    <xf numFmtId="164" fontId="0" fillId="0" borderId="1" xfId="1" applyNumberFormat="1" applyFont="1" applyBorder="1"/>
    <xf numFmtId="0" fontId="2" fillId="2" borderId="1" xfId="2" applyFont="1" applyBorder="1" applyAlignment="1">
      <alignment horizontal="center" vertical="center" wrapText="1"/>
    </xf>
    <xf numFmtId="0" fontId="2" fillId="0" borderId="1" xfId="0" applyFont="1" applyBorder="1" applyAlignment="1">
      <alignment vertical="center"/>
    </xf>
    <xf numFmtId="9" fontId="0" fillId="0" borderId="1" xfId="0" applyNumberFormat="1" applyBorder="1"/>
    <xf numFmtId="0" fontId="0" fillId="0" borderId="1" xfId="0" applyBorder="1" applyAlignment="1">
      <alignment vertical="center" wrapText="1"/>
    </xf>
    <xf numFmtId="0" fontId="6" fillId="6" borderId="1" xfId="0" applyFont="1" applyFill="1" applyBorder="1"/>
    <xf numFmtId="0" fontId="2" fillId="6" borderId="1" xfId="0" applyFont="1" applyFill="1" applyBorder="1"/>
    <xf numFmtId="0" fontId="0" fillId="0" borderId="0" xfId="0" applyAlignment="1">
      <alignment horizontal="left" vertical="top" wrapText="1"/>
    </xf>
    <xf numFmtId="0" fontId="0" fillId="0" borderId="0" xfId="0" applyAlignment="1">
      <alignment horizontal="left" vertical="top"/>
    </xf>
    <xf numFmtId="10" fontId="0" fillId="0" borderId="1" xfId="0" applyNumberFormat="1" applyBorder="1"/>
    <xf numFmtId="0" fontId="2" fillId="3" borderId="0" xfId="3" applyFont="1" applyAlignment="1">
      <alignment horizontal="center"/>
    </xf>
    <xf numFmtId="0" fontId="0" fillId="0" borderId="0" xfId="0" applyAlignment="1">
      <alignment horizontal="left" vertical="top" wrapText="1"/>
    </xf>
    <xf numFmtId="0" fontId="0" fillId="0" borderId="0" xfId="0" applyAlignment="1">
      <alignment horizontal="left" vertical="top"/>
    </xf>
    <xf numFmtId="0" fontId="0" fillId="0" borderId="0" xfId="0" applyBorder="1"/>
    <xf numFmtId="0" fontId="4" fillId="0" borderId="0" xfId="0" applyFont="1" applyAlignment="1">
      <alignment horizontal="left" vertical="top" wrapText="1"/>
    </xf>
    <xf numFmtId="0" fontId="0" fillId="0" borderId="0" xfId="0" applyAlignment="1">
      <alignment horizontal="center"/>
    </xf>
    <xf numFmtId="0" fontId="10" fillId="0" borderId="0" xfId="0" applyFont="1"/>
    <xf numFmtId="0" fontId="9" fillId="9" borderId="0" xfId="0" applyFont="1" applyFill="1" applyAlignment="1">
      <alignment horizontal="center"/>
    </xf>
    <xf numFmtId="0" fontId="0" fillId="0" borderId="1" xfId="0" applyBorder="1" applyAlignment="1">
      <alignment horizontal="left"/>
    </xf>
    <xf numFmtId="9" fontId="10" fillId="8" borderId="1" xfId="4" applyNumberFormat="1" applyFont="1" applyBorder="1" applyAlignment="1">
      <alignment horizontal="left"/>
    </xf>
    <xf numFmtId="0" fontId="0" fillId="0" borderId="0" xfId="0" applyFont="1"/>
    <xf numFmtId="0" fontId="2" fillId="7" borderId="0" xfId="0" applyFont="1" applyFill="1" applyAlignment="1">
      <alignment vertical="center" wrapText="1"/>
    </xf>
    <xf numFmtId="0" fontId="2" fillId="7" borderId="0" xfId="0" applyFont="1" applyFill="1" applyAlignment="1">
      <alignment wrapText="1"/>
    </xf>
    <xf numFmtId="9" fontId="0" fillId="0" borderId="0" xfId="0" applyNumberFormat="1" applyBorder="1"/>
    <xf numFmtId="1" fontId="0" fillId="0" borderId="0" xfId="0" applyNumberFormat="1" applyBorder="1"/>
  </cellXfs>
  <cellStyles count="5">
    <cellStyle name="20% - Accent5" xfId="2" builtinId="46"/>
    <cellStyle name="20% - Accent6" xfId="3" builtinId="50"/>
    <cellStyle name="Bad" xfId="4" builtinId="27"/>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FA349-7A1C-4249-8606-8D225F3FB513}">
  <dimension ref="A1:G44"/>
  <sheetViews>
    <sheetView tabSelected="1" workbookViewId="0">
      <selection activeCell="P12" sqref="P12"/>
    </sheetView>
  </sheetViews>
  <sheetFormatPr defaultRowHeight="14.4" x14ac:dyDescent="0.3"/>
  <cols>
    <col min="1" max="1" width="31.44140625" customWidth="1"/>
    <col min="2" max="2" width="15.5546875" customWidth="1"/>
    <col min="3" max="3" width="12" customWidth="1"/>
    <col min="4" max="4" width="10.88671875" customWidth="1"/>
  </cols>
  <sheetData>
    <row r="1" spans="1:4" ht="18" x14ac:dyDescent="0.35">
      <c r="A1" s="34" t="s">
        <v>101</v>
      </c>
      <c r="B1" s="34"/>
    </row>
    <row r="3" spans="1:4" x14ac:dyDescent="0.3">
      <c r="A3" s="6" t="s">
        <v>92</v>
      </c>
      <c r="B3" s="6" t="s">
        <v>110</v>
      </c>
    </row>
    <row r="4" spans="1:4" x14ac:dyDescent="0.3">
      <c r="A4" s="11" t="s">
        <v>102</v>
      </c>
      <c r="B4" s="35">
        <v>608</v>
      </c>
    </row>
    <row r="5" spans="1:4" x14ac:dyDescent="0.3">
      <c r="A5" s="11" t="s">
        <v>103</v>
      </c>
      <c r="B5" s="35">
        <v>314</v>
      </c>
    </row>
    <row r="6" spans="1:4" x14ac:dyDescent="0.3">
      <c r="A6" s="11" t="s">
        <v>93</v>
      </c>
      <c r="B6" s="36">
        <v>-0.48</v>
      </c>
      <c r="D6" s="33"/>
    </row>
    <row r="9" spans="1:4" x14ac:dyDescent="0.3">
      <c r="A9" s="6" t="s">
        <v>94</v>
      </c>
      <c r="B9" s="11"/>
    </row>
    <row r="10" spans="1:4" x14ac:dyDescent="0.3">
      <c r="A10" s="11"/>
      <c r="B10" s="11"/>
    </row>
    <row r="11" spans="1:4" x14ac:dyDescent="0.3">
      <c r="A11" s="11" t="s">
        <v>95</v>
      </c>
      <c r="B11" s="11" t="s">
        <v>111</v>
      </c>
    </row>
    <row r="12" spans="1:4" x14ac:dyDescent="0.3">
      <c r="A12" s="11" t="s">
        <v>96</v>
      </c>
      <c r="B12" s="11" t="s">
        <v>127</v>
      </c>
    </row>
    <row r="13" spans="1:4" x14ac:dyDescent="0.3">
      <c r="A13" s="11" t="s">
        <v>97</v>
      </c>
      <c r="B13" s="11" t="s">
        <v>112</v>
      </c>
    </row>
    <row r="15" spans="1:4" x14ac:dyDescent="0.3">
      <c r="A15" s="1" t="s">
        <v>113</v>
      </c>
    </row>
    <row r="17" spans="1:6" x14ac:dyDescent="0.3">
      <c r="A17" s="6" t="s">
        <v>114</v>
      </c>
      <c r="B17" s="6" t="s">
        <v>118</v>
      </c>
      <c r="C17" s="6" t="s">
        <v>119</v>
      </c>
      <c r="D17" s="6" t="s">
        <v>120</v>
      </c>
    </row>
    <row r="18" spans="1:6" x14ac:dyDescent="0.3">
      <c r="A18" s="11" t="s">
        <v>115</v>
      </c>
      <c r="B18" s="35">
        <v>608</v>
      </c>
      <c r="C18" s="11" t="s">
        <v>124</v>
      </c>
      <c r="D18" s="11" t="s">
        <v>121</v>
      </c>
    </row>
    <row r="19" spans="1:6" x14ac:dyDescent="0.3">
      <c r="A19" s="11" t="s">
        <v>116</v>
      </c>
      <c r="B19" s="35">
        <v>896</v>
      </c>
      <c r="C19" s="11" t="s">
        <v>125</v>
      </c>
      <c r="D19" s="11" t="s">
        <v>122</v>
      </c>
    </row>
    <row r="20" spans="1:6" x14ac:dyDescent="0.3">
      <c r="A20" s="11" t="s">
        <v>117</v>
      </c>
      <c r="B20" s="35">
        <v>238</v>
      </c>
      <c r="C20" s="11" t="s">
        <v>126</v>
      </c>
      <c r="D20" s="11" t="s">
        <v>123</v>
      </c>
    </row>
    <row r="21" spans="1:6" s="25" customFormat="1" ht="14.4" customHeight="1" x14ac:dyDescent="0.3">
      <c r="A21" s="28" t="s">
        <v>132</v>
      </c>
      <c r="B21" s="28"/>
      <c r="C21" s="28"/>
      <c r="D21" s="28"/>
      <c r="E21" s="28"/>
      <c r="F21" s="28"/>
    </row>
    <row r="22" spans="1:6" x14ac:dyDescent="0.3">
      <c r="A22" s="28"/>
      <c r="B22" s="28"/>
      <c r="C22" s="28"/>
      <c r="D22" s="28"/>
      <c r="E22" s="28"/>
      <c r="F22" s="28"/>
    </row>
    <row r="23" spans="1:6" ht="16.2" customHeight="1" x14ac:dyDescent="0.3">
      <c r="A23" s="28" t="s">
        <v>133</v>
      </c>
      <c r="B23" s="28"/>
      <c r="C23" s="28"/>
      <c r="D23" s="28"/>
      <c r="E23" s="28"/>
      <c r="F23" s="28"/>
    </row>
    <row r="24" spans="1:6" x14ac:dyDescent="0.3">
      <c r="A24" s="28"/>
      <c r="B24" s="28"/>
      <c r="C24" s="28"/>
      <c r="D24" s="28"/>
      <c r="E24" s="28"/>
      <c r="F24" s="28"/>
    </row>
    <row r="25" spans="1:6" x14ac:dyDescent="0.3">
      <c r="A25" s="24"/>
      <c r="B25" s="24"/>
      <c r="C25" s="24"/>
      <c r="D25" s="24"/>
      <c r="E25" s="24"/>
      <c r="F25" s="24"/>
    </row>
    <row r="26" spans="1:6" x14ac:dyDescent="0.3">
      <c r="A26" s="1" t="s">
        <v>98</v>
      </c>
    </row>
    <row r="27" spans="1:6" x14ac:dyDescent="0.3">
      <c r="A27" t="s">
        <v>104</v>
      </c>
    </row>
    <row r="28" spans="1:6" x14ac:dyDescent="0.3">
      <c r="A28" t="s">
        <v>105</v>
      </c>
    </row>
    <row r="29" spans="1:6" x14ac:dyDescent="0.3">
      <c r="A29" t="s">
        <v>106</v>
      </c>
    </row>
    <row r="30" spans="1:6" ht="14.4" customHeight="1" x14ac:dyDescent="0.3">
      <c r="A30" s="28" t="s">
        <v>129</v>
      </c>
      <c r="B30" s="28"/>
      <c r="C30" s="28"/>
      <c r="D30" s="28"/>
      <c r="E30" s="28"/>
      <c r="F30" s="28"/>
    </row>
    <row r="31" spans="1:6" x14ac:dyDescent="0.3">
      <c r="A31" s="28"/>
      <c r="B31" s="28"/>
      <c r="C31" s="28"/>
      <c r="D31" s="28"/>
      <c r="E31" s="28"/>
      <c r="F31" s="28"/>
    </row>
    <row r="32" spans="1:6" x14ac:dyDescent="0.3">
      <c r="A32" s="28"/>
      <c r="B32" s="28"/>
      <c r="C32" s="28"/>
      <c r="D32" s="28"/>
      <c r="E32" s="28"/>
      <c r="F32" s="28"/>
    </row>
    <row r="33" spans="1:7" x14ac:dyDescent="0.3">
      <c r="A33" s="24"/>
      <c r="B33" s="24"/>
      <c r="C33" s="24"/>
      <c r="D33" s="24"/>
      <c r="E33" s="24"/>
      <c r="F33" s="24"/>
    </row>
    <row r="34" spans="1:7" x14ac:dyDescent="0.3">
      <c r="A34" s="1" t="s">
        <v>99</v>
      </c>
    </row>
    <row r="35" spans="1:7" x14ac:dyDescent="0.3">
      <c r="A35" t="s">
        <v>107</v>
      </c>
    </row>
    <row r="36" spans="1:7" x14ac:dyDescent="0.3">
      <c r="A36" t="s">
        <v>108</v>
      </c>
      <c r="G36" s="32"/>
    </row>
    <row r="37" spans="1:7" x14ac:dyDescent="0.3">
      <c r="A37" t="s">
        <v>109</v>
      </c>
    </row>
    <row r="38" spans="1:7" x14ac:dyDescent="0.3">
      <c r="A38" t="s">
        <v>128</v>
      </c>
    </row>
    <row r="40" spans="1:7" x14ac:dyDescent="0.3">
      <c r="A40" s="1" t="s">
        <v>100</v>
      </c>
    </row>
    <row r="41" spans="1:7" ht="31.8" customHeight="1" x14ac:dyDescent="0.3">
      <c r="A41" s="28" t="s">
        <v>130</v>
      </c>
      <c r="B41" s="28"/>
      <c r="C41" s="28"/>
    </row>
    <row r="43" spans="1:7" ht="43.8" customHeight="1" x14ac:dyDescent="0.3">
      <c r="A43" s="28" t="s">
        <v>131</v>
      </c>
      <c r="B43" s="28"/>
      <c r="C43" s="28"/>
    </row>
    <row r="44" spans="1:7" ht="15" customHeight="1" x14ac:dyDescent="0.3"/>
  </sheetData>
  <mergeCells count="6">
    <mergeCell ref="A41:C41"/>
    <mergeCell ref="A43:C43"/>
    <mergeCell ref="A23:F24"/>
    <mergeCell ref="A30:F32"/>
    <mergeCell ref="A21:F22"/>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CBF3E-9E98-4E45-95F5-165FA7E9F8C5}">
  <dimension ref="A1:K16"/>
  <sheetViews>
    <sheetView workbookViewId="0">
      <pane xSplit="1" ySplit="1" topLeftCell="B2" activePane="bottomRight" state="frozen"/>
      <selection pane="topRight" activeCell="B1" sqref="B1"/>
      <selection pane="bottomLeft" activeCell="A2" sqref="A2"/>
      <selection pane="bottomRight" activeCell="F25" sqref="F25"/>
    </sheetView>
  </sheetViews>
  <sheetFormatPr defaultRowHeight="14.4" x14ac:dyDescent="0.3"/>
  <cols>
    <col min="1" max="1" width="34.6640625" customWidth="1"/>
    <col min="2" max="2" width="8.88671875" customWidth="1"/>
    <col min="7" max="11" width="10.5546875" bestFit="1" customWidth="1"/>
  </cols>
  <sheetData>
    <row r="1" spans="1:11" x14ac:dyDescent="0.3">
      <c r="A1" s="5" t="s">
        <v>78</v>
      </c>
      <c r="B1" s="13" t="s">
        <v>0</v>
      </c>
      <c r="C1" s="13" t="s">
        <v>1</v>
      </c>
      <c r="D1" s="13" t="s">
        <v>2</v>
      </c>
      <c r="E1" s="13" t="s">
        <v>3</v>
      </c>
      <c r="F1" s="13" t="s">
        <v>4</v>
      </c>
      <c r="G1" s="14" t="s">
        <v>39</v>
      </c>
      <c r="H1" s="14" t="s">
        <v>40</v>
      </c>
      <c r="I1" s="14" t="s">
        <v>49</v>
      </c>
      <c r="J1" s="14" t="s">
        <v>82</v>
      </c>
      <c r="K1" s="14" t="s">
        <v>83</v>
      </c>
    </row>
    <row r="2" spans="1:11" x14ac:dyDescent="0.3">
      <c r="A2" s="6" t="s">
        <v>11</v>
      </c>
      <c r="B2" s="11">
        <v>1708</v>
      </c>
      <c r="C2" s="11">
        <v>2388</v>
      </c>
      <c r="D2" s="11">
        <v>3452</v>
      </c>
      <c r="E2" s="11">
        <v>3479</v>
      </c>
      <c r="F2" s="11">
        <v>3489</v>
      </c>
      <c r="G2" s="15">
        <f>F2*(1+Assumptions!B2)</f>
        <v>3773.3535000000006</v>
      </c>
      <c r="H2" s="15">
        <f>G2*(1+Assumptions!C2)</f>
        <v>4159.7448984000011</v>
      </c>
      <c r="I2" s="15">
        <f>H2*(1+Assumptions!D2)</f>
        <v>4585.7027759961611</v>
      </c>
      <c r="J2" s="15">
        <f>I2*(1+Assumptions!E2)</f>
        <v>5006.6702908326088</v>
      </c>
      <c r="K2" s="15">
        <f>J2*(1+Assumptions!F2)</f>
        <v>5414.7139195354666</v>
      </c>
    </row>
    <row r="3" spans="1:11" x14ac:dyDescent="0.3">
      <c r="A3" s="6" t="s">
        <v>12</v>
      </c>
      <c r="B3" s="11">
        <v>1540</v>
      </c>
      <c r="C3" s="11">
        <v>1960</v>
      </c>
      <c r="D3" s="11">
        <v>2647</v>
      </c>
      <c r="E3" s="11">
        <v>2682</v>
      </c>
      <c r="F3" s="11">
        <v>2736</v>
      </c>
      <c r="G3" s="15">
        <f>G2-G4</f>
        <v>2943.2157300000003</v>
      </c>
      <c r="H3" s="15">
        <f>H2-H4</f>
        <v>3244.6010207520007</v>
      </c>
      <c r="I3" s="15">
        <f>I2-I4</f>
        <v>3576.8481652770056</v>
      </c>
      <c r="J3" s="15">
        <f>J2-J4</f>
        <v>3855.136123941109</v>
      </c>
      <c r="K3" s="15">
        <f>K2-K4</f>
        <v>4169.3297180423087</v>
      </c>
    </row>
    <row r="4" spans="1:11" x14ac:dyDescent="0.3">
      <c r="A4" s="6" t="s">
        <v>13</v>
      </c>
      <c r="B4" s="11">
        <f>B2-B3</f>
        <v>168</v>
      </c>
      <c r="C4" s="11">
        <f>C2-C3</f>
        <v>428</v>
      </c>
      <c r="D4" s="11">
        <f>D2-D3</f>
        <v>805</v>
      </c>
      <c r="E4" s="11">
        <f>E2-E3</f>
        <v>797</v>
      </c>
      <c r="F4" s="11">
        <f>F2-F3</f>
        <v>753</v>
      </c>
      <c r="G4" s="15">
        <f>G2*Assumptions!B3</f>
        <v>830.13777000000016</v>
      </c>
      <c r="H4" s="15">
        <f>H2*Assumptions!C3</f>
        <v>915.14387764800028</v>
      </c>
      <c r="I4" s="15">
        <f>I2*Assumptions!D3</f>
        <v>1008.8546107191554</v>
      </c>
      <c r="J4" s="15">
        <f>J2*Assumptions!E3</f>
        <v>1151.5341668915</v>
      </c>
      <c r="K4" s="15">
        <f>K2*Assumptions!F3</f>
        <v>1245.3842014931574</v>
      </c>
    </row>
    <row r="5" spans="1:11" x14ac:dyDescent="0.3">
      <c r="A5" s="6" t="s">
        <v>14</v>
      </c>
      <c r="B5" s="16">
        <f t="shared" ref="B5:I5" si="0">B4/B2</f>
        <v>9.8360655737704916E-2</v>
      </c>
      <c r="C5" s="16">
        <f t="shared" si="0"/>
        <v>0.17922948073701842</v>
      </c>
      <c r="D5" s="16">
        <f t="shared" si="0"/>
        <v>0.2331981460023175</v>
      </c>
      <c r="E5" s="16">
        <f t="shared" si="0"/>
        <v>0.22908881862604197</v>
      </c>
      <c r="F5" s="16">
        <f t="shared" si="0"/>
        <v>0.21582115219260534</v>
      </c>
      <c r="G5" s="16">
        <f t="shared" si="0"/>
        <v>0.22</v>
      </c>
      <c r="H5" s="16">
        <f t="shared" ref="H5:K5" si="1">H4/H2</f>
        <v>0.22</v>
      </c>
      <c r="I5" s="16">
        <f t="shared" si="1"/>
        <v>0.22</v>
      </c>
      <c r="J5" s="16">
        <f t="shared" si="1"/>
        <v>0.23</v>
      </c>
      <c r="K5" s="16">
        <f t="shared" si="1"/>
        <v>0.23</v>
      </c>
    </row>
    <row r="6" spans="1:11" x14ac:dyDescent="0.3">
      <c r="A6" s="6"/>
      <c r="B6" s="11"/>
      <c r="C6" s="11"/>
      <c r="D6" s="11"/>
      <c r="E6" s="11"/>
      <c r="F6" s="11"/>
      <c r="G6" s="11"/>
      <c r="H6" s="11"/>
      <c r="I6" s="11"/>
      <c r="J6" s="11"/>
      <c r="K6" s="11"/>
    </row>
    <row r="7" spans="1:11" x14ac:dyDescent="0.3">
      <c r="A7" s="6" t="s">
        <v>15</v>
      </c>
      <c r="B7" s="11">
        <v>265</v>
      </c>
      <c r="C7" s="11">
        <v>242</v>
      </c>
      <c r="D7" s="11">
        <v>295</v>
      </c>
      <c r="E7" s="11">
        <v>339</v>
      </c>
      <c r="F7" s="11">
        <v>371</v>
      </c>
      <c r="G7" s="15">
        <f>G2*Assumptions!B4</f>
        <v>415.06888500000008</v>
      </c>
      <c r="H7" s="15">
        <f>H2*Assumptions!C4</f>
        <v>457.57193882400014</v>
      </c>
      <c r="I7" s="15">
        <f>I2*Assumptions!D4</f>
        <v>504.4273053595777</v>
      </c>
      <c r="J7" s="15">
        <f>J2*Assumptions!E4</f>
        <v>550.73373199158698</v>
      </c>
      <c r="K7" s="15">
        <f>K2*Assumptions!F4</f>
        <v>595.6185311489013</v>
      </c>
    </row>
    <row r="8" spans="1:11" x14ac:dyDescent="0.3">
      <c r="A8" s="6" t="s">
        <v>16</v>
      </c>
      <c r="B8" s="11">
        <f t="shared" ref="B8:I8" si="2">B4-B7</f>
        <v>-97</v>
      </c>
      <c r="C8" s="11">
        <f t="shared" si="2"/>
        <v>186</v>
      </c>
      <c r="D8" s="11">
        <f t="shared" si="2"/>
        <v>510</v>
      </c>
      <c r="E8" s="11">
        <f t="shared" si="2"/>
        <v>458</v>
      </c>
      <c r="F8" s="11">
        <f t="shared" si="2"/>
        <v>382</v>
      </c>
      <c r="G8" s="15">
        <f t="shared" si="2"/>
        <v>415.06888500000008</v>
      </c>
      <c r="H8" s="15">
        <f t="shared" ref="H8:K8" si="3">H4-H7</f>
        <v>457.57193882400014</v>
      </c>
      <c r="I8" s="15">
        <f t="shared" si="3"/>
        <v>504.4273053595777</v>
      </c>
      <c r="J8" s="15">
        <f t="shared" si="3"/>
        <v>600.80043489991306</v>
      </c>
      <c r="K8" s="15">
        <f t="shared" si="3"/>
        <v>649.76567034425614</v>
      </c>
    </row>
    <row r="9" spans="1:11" x14ac:dyDescent="0.3">
      <c r="A9" s="6"/>
      <c r="B9" s="11"/>
      <c r="C9" s="11"/>
      <c r="D9" s="11"/>
      <c r="E9" s="11"/>
      <c r="F9" s="11"/>
      <c r="G9" s="11"/>
      <c r="H9" s="11"/>
      <c r="I9" s="11"/>
      <c r="J9" s="11"/>
      <c r="K9" s="11"/>
    </row>
    <row r="10" spans="1:11" x14ac:dyDescent="0.3">
      <c r="A10" s="6" t="s">
        <v>5</v>
      </c>
      <c r="B10" s="11">
        <v>87</v>
      </c>
      <c r="C10" s="11">
        <v>54</v>
      </c>
      <c r="D10" s="11">
        <v>39</v>
      </c>
      <c r="E10" s="11">
        <v>19</v>
      </c>
      <c r="F10" s="11">
        <v>186</v>
      </c>
      <c r="G10" s="11">
        <v>50</v>
      </c>
      <c r="H10" s="11">
        <v>50</v>
      </c>
      <c r="I10" s="11">
        <v>50</v>
      </c>
      <c r="J10" s="11">
        <v>50</v>
      </c>
      <c r="K10" s="11">
        <v>50</v>
      </c>
    </row>
    <row r="11" spans="1:11" x14ac:dyDescent="0.3">
      <c r="A11" s="6" t="s">
        <v>17</v>
      </c>
      <c r="B11" s="11">
        <v>108</v>
      </c>
      <c r="C11" s="11">
        <v>99</v>
      </c>
      <c r="D11" s="11">
        <v>118</v>
      </c>
      <c r="E11" s="11">
        <v>126</v>
      </c>
      <c r="F11" s="11">
        <v>141</v>
      </c>
      <c r="G11" s="11">
        <f>Assumptions!B6</f>
        <v>150</v>
      </c>
      <c r="H11" s="11">
        <f>Assumptions!C6</f>
        <v>150</v>
      </c>
      <c r="I11" s="11">
        <f>Assumptions!D6</f>
        <v>150</v>
      </c>
      <c r="J11" s="11">
        <f>Assumptions!E6</f>
        <v>155</v>
      </c>
      <c r="K11" s="11">
        <f>Assumptions!F6</f>
        <v>155</v>
      </c>
    </row>
    <row r="12" spans="1:11" x14ac:dyDescent="0.3">
      <c r="A12" s="6" t="s">
        <v>7</v>
      </c>
      <c r="B12" s="11">
        <f>B8+B10-B11</f>
        <v>-118</v>
      </c>
      <c r="C12" s="11">
        <f>(C8+C10)-C11</f>
        <v>141</v>
      </c>
      <c r="D12" s="11">
        <f t="shared" ref="D12:I12" si="4">D8+D10-D11</f>
        <v>431</v>
      </c>
      <c r="E12" s="11">
        <f t="shared" si="4"/>
        <v>351</v>
      </c>
      <c r="F12" s="11">
        <f t="shared" si="4"/>
        <v>427</v>
      </c>
      <c r="G12" s="15">
        <f t="shared" si="4"/>
        <v>315.06888500000008</v>
      </c>
      <c r="H12" s="15">
        <f t="shared" ref="H12:K12" si="5">H8+H10-H11</f>
        <v>357.57193882400014</v>
      </c>
      <c r="I12" s="15">
        <f t="shared" si="5"/>
        <v>404.42730535957776</v>
      </c>
      <c r="J12" s="15">
        <f t="shared" si="5"/>
        <v>495.80043489991306</v>
      </c>
      <c r="K12" s="15">
        <f t="shared" si="5"/>
        <v>544.76567034425614</v>
      </c>
    </row>
    <row r="13" spans="1:11" x14ac:dyDescent="0.3">
      <c r="A13" s="6" t="s">
        <v>8</v>
      </c>
      <c r="B13" s="11">
        <f>B12-B14</f>
        <v>-29</v>
      </c>
      <c r="C13" s="11">
        <f>C12-C14</f>
        <v>38</v>
      </c>
      <c r="D13" s="11">
        <f>D12-D14</f>
        <v>108</v>
      </c>
      <c r="E13" s="11">
        <f>E12-E14</f>
        <v>88</v>
      </c>
      <c r="F13" s="11">
        <f>F12-F14</f>
        <v>96</v>
      </c>
      <c r="G13" s="15">
        <f>G12*Assumptions!B5</f>
        <v>78.76722125000002</v>
      </c>
      <c r="H13" s="15">
        <f>H12*Assumptions!C5</f>
        <v>89.392984706000036</v>
      </c>
      <c r="I13" s="15">
        <f>I12*Assumptions!D5</f>
        <v>101.10682633989444</v>
      </c>
      <c r="J13" s="15">
        <f>J12*Assumptions!E5</f>
        <v>123.95010872497826</v>
      </c>
      <c r="K13" s="15">
        <f>K12*Assumptions!F5</f>
        <v>136.19141758606403</v>
      </c>
    </row>
    <row r="14" spans="1:11" x14ac:dyDescent="0.3">
      <c r="A14" s="6" t="s">
        <v>9</v>
      </c>
      <c r="B14" s="11">
        <v>-89</v>
      </c>
      <c r="C14" s="11">
        <v>103</v>
      </c>
      <c r="D14" s="11">
        <v>323</v>
      </c>
      <c r="E14" s="11">
        <v>263</v>
      </c>
      <c r="F14" s="11">
        <v>331</v>
      </c>
      <c r="G14" s="15">
        <f>G12-G13</f>
        <v>236.30166375000005</v>
      </c>
      <c r="H14" s="15">
        <f>H12-H13</f>
        <v>268.17895411800009</v>
      </c>
      <c r="I14" s="15">
        <f>I12-I13</f>
        <v>303.32047901968332</v>
      </c>
      <c r="J14" s="15">
        <f>J12-J13</f>
        <v>371.85032617493482</v>
      </c>
      <c r="K14" s="15">
        <f>K12-K13</f>
        <v>408.57425275819207</v>
      </c>
    </row>
    <row r="15" spans="1:11" x14ac:dyDescent="0.3">
      <c r="A15" s="6" t="s">
        <v>10</v>
      </c>
      <c r="B15" s="17">
        <f t="shared" ref="B15:I15" si="6">B14/B2</f>
        <v>-5.2107728337236536E-2</v>
      </c>
      <c r="C15" s="16">
        <f t="shared" si="6"/>
        <v>4.3132328308207707E-2</v>
      </c>
      <c r="D15" s="16">
        <f t="shared" si="6"/>
        <v>9.3568945538818074E-2</v>
      </c>
      <c r="E15" s="16">
        <f t="shared" si="6"/>
        <v>7.5596435757401548E-2</v>
      </c>
      <c r="F15" s="16">
        <f t="shared" si="6"/>
        <v>9.4869590140441384E-2</v>
      </c>
      <c r="G15" s="16">
        <f t="shared" si="6"/>
        <v>6.262378114056899E-2</v>
      </c>
      <c r="H15" s="16">
        <f t="shared" ref="H15:K15" si="7">H14/H2</f>
        <v>6.4470048204434874E-2</v>
      </c>
      <c r="I15" s="16">
        <f t="shared" si="7"/>
        <v>6.614481876309404E-2</v>
      </c>
      <c r="J15" s="16">
        <f t="shared" si="7"/>
        <v>7.4270983423015885E-2</v>
      </c>
      <c r="K15" s="16">
        <f t="shared" si="7"/>
        <v>7.5456295351840869E-2</v>
      </c>
    </row>
    <row r="16" spans="1:11" x14ac:dyDescent="0.3">
      <c r="A16" s="6" t="s">
        <v>18</v>
      </c>
      <c r="B16" s="11">
        <v>-6.95</v>
      </c>
      <c r="C16" s="11">
        <v>8.01</v>
      </c>
      <c r="D16" s="11">
        <v>25.13</v>
      </c>
      <c r="E16" s="11">
        <v>20.420000000000002</v>
      </c>
      <c r="F16" s="11">
        <v>25.73</v>
      </c>
      <c r="G16" s="11"/>
      <c r="H16" s="11"/>
      <c r="I16" s="11"/>
      <c r="J16" s="11"/>
      <c r="K16"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4A61A-7B9B-4D8C-8D2F-DF83ECE2196C}">
  <dimension ref="A1:F13"/>
  <sheetViews>
    <sheetView workbookViewId="0">
      <pane xSplit="1" ySplit="1" topLeftCell="B2" activePane="bottomRight" state="frozen"/>
      <selection pane="topRight" activeCell="B1" sqref="B1"/>
      <selection pane="bottomLeft" activeCell="A2" sqref="A2"/>
      <selection pane="bottomRight" activeCell="E24" sqref="E24"/>
    </sheetView>
  </sheetViews>
  <sheetFormatPr defaultRowHeight="14.4" x14ac:dyDescent="0.3"/>
  <cols>
    <col min="1" max="1" width="37.88671875" customWidth="1"/>
  </cols>
  <sheetData>
    <row r="1" spans="1:6" x14ac:dyDescent="0.3">
      <c r="A1" s="39" t="s">
        <v>79</v>
      </c>
      <c r="B1" s="13" t="s">
        <v>0</v>
      </c>
      <c r="C1" s="13" t="s">
        <v>1</v>
      </c>
      <c r="D1" s="13" t="s">
        <v>2</v>
      </c>
      <c r="E1" s="13" t="s">
        <v>3</v>
      </c>
      <c r="F1" s="13" t="s">
        <v>4</v>
      </c>
    </row>
    <row r="2" spans="1:6" x14ac:dyDescent="0.3">
      <c r="A2" s="6" t="s">
        <v>25</v>
      </c>
      <c r="B2" s="11">
        <v>64</v>
      </c>
      <c r="C2" s="11">
        <v>64</v>
      </c>
      <c r="D2" s="11">
        <v>64</v>
      </c>
      <c r="E2" s="11">
        <v>64</v>
      </c>
      <c r="F2" s="11">
        <v>64</v>
      </c>
    </row>
    <row r="3" spans="1:6" x14ac:dyDescent="0.3">
      <c r="A3" s="6" t="s">
        <v>26</v>
      </c>
      <c r="B3" s="11">
        <v>1694</v>
      </c>
      <c r="C3" s="11">
        <v>1750</v>
      </c>
      <c r="D3" s="11">
        <v>1374</v>
      </c>
      <c r="E3" s="11">
        <v>1463</v>
      </c>
      <c r="F3" s="11">
        <v>1511</v>
      </c>
    </row>
    <row r="4" spans="1:6" x14ac:dyDescent="0.3">
      <c r="A4" s="6" t="s">
        <v>27</v>
      </c>
      <c r="B4" s="11">
        <f>B2+B3</f>
        <v>1758</v>
      </c>
      <c r="C4" s="11">
        <f>C2+C3</f>
        <v>1814</v>
      </c>
      <c r="D4" s="11">
        <f>D2+D3</f>
        <v>1438</v>
      </c>
      <c r="E4" s="11">
        <f>E2+E3</f>
        <v>1527</v>
      </c>
      <c r="F4" s="11">
        <f>F2+F3</f>
        <v>1575</v>
      </c>
    </row>
    <row r="5" spans="1:6" x14ac:dyDescent="0.3">
      <c r="A5" s="6" t="s">
        <v>28</v>
      </c>
      <c r="B5" s="11">
        <v>1032</v>
      </c>
      <c r="C5" s="11">
        <v>1094</v>
      </c>
      <c r="D5" s="11">
        <v>1246</v>
      </c>
      <c r="E5" s="11">
        <v>1357</v>
      </c>
      <c r="F5" s="11">
        <v>1446</v>
      </c>
    </row>
    <row r="6" spans="1:6" x14ac:dyDescent="0.3">
      <c r="A6" s="6" t="s">
        <v>29</v>
      </c>
      <c r="B6" s="11">
        <v>542</v>
      </c>
      <c r="C6" s="11">
        <v>616</v>
      </c>
      <c r="D6" s="11">
        <v>587</v>
      </c>
      <c r="E6" s="11">
        <v>466</v>
      </c>
      <c r="F6" s="11">
        <v>801</v>
      </c>
    </row>
    <row r="7" spans="1:6" x14ac:dyDescent="0.3">
      <c r="A7" s="6" t="s">
        <v>19</v>
      </c>
      <c r="B7" s="11">
        <f>SUM(B4:B6)</f>
        <v>3332</v>
      </c>
      <c r="C7" s="11">
        <f>SUM(C4:C6)</f>
        <v>3524</v>
      </c>
      <c r="D7" s="11">
        <f>SUM(D4:D6)</f>
        <v>3271</v>
      </c>
      <c r="E7" s="11">
        <f>SUM(E4:E6)</f>
        <v>3350</v>
      </c>
      <c r="F7" s="11">
        <f>SUM(F4:F6)</f>
        <v>3822</v>
      </c>
    </row>
    <row r="8" spans="1:6" x14ac:dyDescent="0.3">
      <c r="A8" s="6"/>
      <c r="B8" s="11"/>
      <c r="C8" s="11"/>
      <c r="D8" s="11"/>
      <c r="E8" s="11"/>
      <c r="F8" s="11"/>
    </row>
    <row r="9" spans="1:6" x14ac:dyDescent="0.3">
      <c r="A9" s="6" t="s">
        <v>20</v>
      </c>
      <c r="B9" s="11">
        <v>1120</v>
      </c>
      <c r="C9" s="11">
        <v>1226</v>
      </c>
      <c r="D9" s="11">
        <v>1392</v>
      </c>
      <c r="E9" s="11">
        <v>1509</v>
      </c>
      <c r="F9" s="11">
        <v>1800</v>
      </c>
    </row>
    <row r="10" spans="1:6" x14ac:dyDescent="0.3">
      <c r="A10" s="6" t="s">
        <v>21</v>
      </c>
      <c r="B10" s="11">
        <v>34</v>
      </c>
      <c r="C10" s="11">
        <v>5</v>
      </c>
      <c r="D10" s="11">
        <v>4</v>
      </c>
      <c r="E10" s="11">
        <v>4</v>
      </c>
      <c r="F10" s="11">
        <v>14</v>
      </c>
    </row>
    <row r="11" spans="1:6" x14ac:dyDescent="0.3">
      <c r="A11" s="6" t="s">
        <v>22</v>
      </c>
      <c r="B11" s="11">
        <v>0</v>
      </c>
      <c r="C11" s="11">
        <v>0</v>
      </c>
      <c r="D11" s="11">
        <v>0</v>
      </c>
      <c r="E11" s="11">
        <v>0</v>
      </c>
      <c r="F11" s="11">
        <v>1</v>
      </c>
    </row>
    <row r="12" spans="1:6" x14ac:dyDescent="0.3">
      <c r="A12" s="6" t="s">
        <v>23</v>
      </c>
      <c r="B12" s="11">
        <v>2179</v>
      </c>
      <c r="C12" s="11">
        <v>2294</v>
      </c>
      <c r="D12" s="11">
        <v>1876</v>
      </c>
      <c r="E12" s="11">
        <v>1837</v>
      </c>
      <c r="F12" s="11">
        <v>2008</v>
      </c>
    </row>
    <row r="13" spans="1:6" x14ac:dyDescent="0.3">
      <c r="A13" s="6" t="s">
        <v>24</v>
      </c>
      <c r="B13" s="11">
        <f>SUM(B9:B12)</f>
        <v>3333</v>
      </c>
      <c r="C13" s="11">
        <f>SUM(C9:C12)</f>
        <v>3525</v>
      </c>
      <c r="D13" s="11">
        <f>SUM(D9:D12)</f>
        <v>3272</v>
      </c>
      <c r="E13" s="11">
        <f>SUM(E9:E12)</f>
        <v>3350</v>
      </c>
      <c r="F13" s="11">
        <f>SUM(F9:F12)</f>
        <v>3823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E77E6-212C-4350-8FAF-B6293606E7D3}">
  <dimension ref="A1:F11"/>
  <sheetViews>
    <sheetView workbookViewId="0">
      <pane xSplit="1" ySplit="1" topLeftCell="B2" activePane="bottomRight" state="frozen"/>
      <selection pane="topRight" activeCell="B1" sqref="B1"/>
      <selection pane="bottomLeft" activeCell="A2" sqref="A2"/>
      <selection pane="bottomRight" activeCell="A13" sqref="A13"/>
    </sheetView>
  </sheetViews>
  <sheetFormatPr defaultRowHeight="14.4" x14ac:dyDescent="0.3"/>
  <cols>
    <col min="1" max="1" width="40.33203125" customWidth="1"/>
  </cols>
  <sheetData>
    <row r="1" spans="1:6" ht="28.8" x14ac:dyDescent="0.3">
      <c r="A1" s="38" t="s">
        <v>80</v>
      </c>
      <c r="B1" s="18" t="s">
        <v>0</v>
      </c>
      <c r="C1" s="18" t="s">
        <v>1</v>
      </c>
      <c r="D1" s="18" t="s">
        <v>30</v>
      </c>
      <c r="E1" s="18" t="s">
        <v>3</v>
      </c>
      <c r="F1" s="18" t="s">
        <v>4</v>
      </c>
    </row>
    <row r="2" spans="1:6" x14ac:dyDescent="0.3">
      <c r="A2" s="19" t="s">
        <v>31</v>
      </c>
      <c r="B2" s="11">
        <v>461</v>
      </c>
      <c r="C2" s="11">
        <v>212</v>
      </c>
      <c r="D2" s="11">
        <v>629</v>
      </c>
      <c r="E2" s="11">
        <v>453</v>
      </c>
      <c r="F2" s="11">
        <v>738</v>
      </c>
    </row>
    <row r="3" spans="1:6" x14ac:dyDescent="0.3">
      <c r="A3" s="6" t="s">
        <v>32</v>
      </c>
      <c r="B3" s="11">
        <v>-53</v>
      </c>
      <c r="C3" s="11">
        <v>93</v>
      </c>
      <c r="D3" s="11">
        <v>439</v>
      </c>
      <c r="E3" s="11">
        <v>40</v>
      </c>
      <c r="F3" s="11">
        <v>53</v>
      </c>
    </row>
    <row r="4" spans="1:6" x14ac:dyDescent="0.3">
      <c r="A4" s="6" t="s">
        <v>33</v>
      </c>
      <c r="B4" s="11">
        <v>-369</v>
      </c>
      <c r="C4" s="11">
        <v>-341</v>
      </c>
      <c r="D4" s="11">
        <v>-1011</v>
      </c>
      <c r="E4" s="11">
        <v>-518</v>
      </c>
      <c r="F4" s="11">
        <v>-638</v>
      </c>
    </row>
    <row r="5" spans="1:6" x14ac:dyDescent="0.3">
      <c r="A5" s="6" t="s">
        <v>34</v>
      </c>
      <c r="B5" s="11">
        <f>SUM(B2:B4)</f>
        <v>39</v>
      </c>
      <c r="C5" s="11">
        <f>SUM(C2:C4)</f>
        <v>-36</v>
      </c>
      <c r="D5" s="11">
        <f>SUM(D2:D4)</f>
        <v>57</v>
      </c>
      <c r="E5" s="11">
        <f>SUM(E2:E4)</f>
        <v>-25</v>
      </c>
      <c r="F5" s="11">
        <f>SUM(F2:F4)</f>
        <v>153</v>
      </c>
    </row>
    <row r="11" spans="1:6" x14ac:dyDescent="0.3">
      <c r="D11" s="3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8F328-A07A-42DE-BFA6-A0FC17CDE48D}">
  <dimension ref="A1:I29"/>
  <sheetViews>
    <sheetView topLeftCell="A4" workbookViewId="0">
      <selection activeCell="J13" sqref="J13"/>
    </sheetView>
  </sheetViews>
  <sheetFormatPr defaultRowHeight="14.4" x14ac:dyDescent="0.3"/>
  <cols>
    <col min="1" max="1" width="25.109375" customWidth="1"/>
  </cols>
  <sheetData>
    <row r="1" spans="1:9" x14ac:dyDescent="0.3">
      <c r="A1" s="22" t="s">
        <v>35</v>
      </c>
      <c r="B1" s="14" t="s">
        <v>39</v>
      </c>
      <c r="C1" s="14" t="s">
        <v>40</v>
      </c>
      <c r="D1" s="14" t="s">
        <v>41</v>
      </c>
      <c r="E1" s="23" t="s">
        <v>82</v>
      </c>
      <c r="F1" s="23" t="s">
        <v>83</v>
      </c>
    </row>
    <row r="2" spans="1:9" x14ac:dyDescent="0.3">
      <c r="A2" s="11" t="s">
        <v>42</v>
      </c>
      <c r="B2" s="26">
        <f>(1+B7)*(1+B8)-1</f>
        <v>8.1500000000000128E-2</v>
      </c>
      <c r="C2" s="26">
        <f>(1+C7)*(1+C8)-1</f>
        <v>0.10240000000000005</v>
      </c>
      <c r="D2" s="26">
        <f>(1+D7)*(1+D8)-1</f>
        <v>0.10240000000000005</v>
      </c>
      <c r="E2" s="26">
        <f>(1+E7)*(1+E8)-1</f>
        <v>9.1800000000000104E-2</v>
      </c>
      <c r="F2" s="26">
        <f>(1+F7)*(1+F8)-1</f>
        <v>8.1500000000000128E-2</v>
      </c>
    </row>
    <row r="3" spans="1:9" x14ac:dyDescent="0.3">
      <c r="A3" s="11" t="s">
        <v>14</v>
      </c>
      <c r="B3" s="20">
        <v>0.22</v>
      </c>
      <c r="C3" s="20">
        <v>0.22</v>
      </c>
      <c r="D3" s="20">
        <v>0.22</v>
      </c>
      <c r="E3" s="20">
        <v>0.23</v>
      </c>
      <c r="F3" s="20">
        <v>0.23</v>
      </c>
    </row>
    <row r="4" spans="1:9" x14ac:dyDescent="0.3">
      <c r="A4" s="11" t="s">
        <v>36</v>
      </c>
      <c r="B4" s="20">
        <v>0.11</v>
      </c>
      <c r="C4" s="20">
        <v>0.11</v>
      </c>
      <c r="D4" s="20">
        <v>0.11</v>
      </c>
      <c r="E4" s="20">
        <v>0.11</v>
      </c>
      <c r="F4" s="20">
        <v>0.11</v>
      </c>
    </row>
    <row r="5" spans="1:9" x14ac:dyDescent="0.3">
      <c r="A5" s="11" t="s">
        <v>37</v>
      </c>
      <c r="B5" s="20">
        <v>0.25</v>
      </c>
      <c r="C5" s="20">
        <v>0.25</v>
      </c>
      <c r="D5" s="20">
        <v>0.25</v>
      </c>
      <c r="E5" s="20">
        <v>0.25</v>
      </c>
      <c r="F5" s="20">
        <v>0.25</v>
      </c>
    </row>
    <row r="6" spans="1:9" x14ac:dyDescent="0.3">
      <c r="A6" s="11" t="s">
        <v>38</v>
      </c>
      <c r="B6" s="21">
        <v>150</v>
      </c>
      <c r="C6" s="21">
        <v>150</v>
      </c>
      <c r="D6" s="21">
        <v>150</v>
      </c>
      <c r="E6" s="11">
        <v>155</v>
      </c>
      <c r="F6" s="11">
        <v>155</v>
      </c>
    </row>
    <row r="7" spans="1:9" x14ac:dyDescent="0.3">
      <c r="A7" s="11" t="s">
        <v>84</v>
      </c>
      <c r="B7" s="20">
        <v>0.05</v>
      </c>
      <c r="C7" s="20">
        <v>0.06</v>
      </c>
      <c r="D7" s="20">
        <v>0.06</v>
      </c>
      <c r="E7" s="20">
        <v>0.06</v>
      </c>
      <c r="F7" s="20">
        <v>0.05</v>
      </c>
    </row>
    <row r="8" spans="1:9" x14ac:dyDescent="0.3">
      <c r="A8" s="11" t="s">
        <v>85</v>
      </c>
      <c r="B8" s="20">
        <v>0.03</v>
      </c>
      <c r="C8" s="20">
        <v>0.04</v>
      </c>
      <c r="D8" s="20">
        <v>0.04</v>
      </c>
      <c r="E8" s="20">
        <v>0.03</v>
      </c>
      <c r="F8" s="20">
        <v>0.03</v>
      </c>
    </row>
    <row r="9" spans="1:9" x14ac:dyDescent="0.3">
      <c r="A9" s="30"/>
      <c r="B9" s="40"/>
      <c r="C9" s="40"/>
      <c r="D9" s="40"/>
      <c r="E9" s="40"/>
      <c r="F9" s="40"/>
    </row>
    <row r="10" spans="1:9" x14ac:dyDescent="0.3">
      <c r="A10" s="4" t="s">
        <v>43</v>
      </c>
      <c r="B10" s="27" t="s">
        <v>44</v>
      </c>
      <c r="C10" s="27"/>
      <c r="D10" s="27"/>
      <c r="E10" s="27"/>
      <c r="F10" s="27"/>
      <c r="G10" s="27"/>
      <c r="H10" s="27"/>
      <c r="I10" s="27"/>
    </row>
    <row r="11" spans="1:9" x14ac:dyDescent="0.3">
      <c r="A11" s="1" t="s">
        <v>42</v>
      </c>
      <c r="B11" s="28" t="s">
        <v>91</v>
      </c>
      <c r="C11" s="28"/>
      <c r="D11" s="28"/>
      <c r="E11" s="28"/>
      <c r="F11" s="28"/>
      <c r="G11" s="28"/>
      <c r="H11" s="28"/>
      <c r="I11" s="28"/>
    </row>
    <row r="12" spans="1:9" x14ac:dyDescent="0.3">
      <c r="B12" s="28"/>
      <c r="C12" s="28"/>
      <c r="D12" s="28"/>
      <c r="E12" s="28"/>
      <c r="F12" s="28"/>
      <c r="G12" s="28"/>
      <c r="H12" s="28"/>
      <c r="I12" s="28"/>
    </row>
    <row r="14" spans="1:9" x14ac:dyDescent="0.3">
      <c r="A14" s="1" t="s">
        <v>14</v>
      </c>
      <c r="B14" s="28" t="s">
        <v>45</v>
      </c>
      <c r="C14" s="28"/>
      <c r="D14" s="28"/>
      <c r="E14" s="28"/>
      <c r="F14" s="28"/>
      <c r="G14" s="28"/>
      <c r="H14" s="28"/>
      <c r="I14" s="28"/>
    </row>
    <row r="15" spans="1:9" x14ac:dyDescent="0.3">
      <c r="B15" s="28"/>
      <c r="C15" s="28"/>
      <c r="D15" s="28"/>
      <c r="E15" s="28"/>
      <c r="F15" s="28"/>
      <c r="G15" s="28"/>
      <c r="H15" s="28"/>
      <c r="I15" s="28"/>
    </row>
    <row r="17" spans="1:9" x14ac:dyDescent="0.3">
      <c r="A17" s="1" t="s">
        <v>36</v>
      </c>
      <c r="B17" s="28" t="s">
        <v>46</v>
      </c>
      <c r="C17" s="28"/>
      <c r="D17" s="28"/>
      <c r="E17" s="28"/>
      <c r="F17" s="28"/>
      <c r="G17" s="28"/>
      <c r="H17" s="28"/>
      <c r="I17" s="28"/>
    </row>
    <row r="18" spans="1:9" x14ac:dyDescent="0.3">
      <c r="B18" s="28"/>
      <c r="C18" s="28"/>
      <c r="D18" s="28"/>
      <c r="E18" s="28"/>
      <c r="F18" s="28"/>
      <c r="G18" s="28"/>
      <c r="H18" s="28"/>
      <c r="I18" s="28"/>
    </row>
    <row r="20" spans="1:9" x14ac:dyDescent="0.3">
      <c r="A20" s="1" t="s">
        <v>37</v>
      </c>
      <c r="B20" s="29" t="s">
        <v>47</v>
      </c>
      <c r="C20" s="29"/>
      <c r="D20" s="29"/>
      <c r="E20" s="29"/>
      <c r="F20" s="29"/>
      <c r="G20" s="29"/>
      <c r="H20" s="29"/>
      <c r="I20" s="29"/>
    </row>
    <row r="22" spans="1:9" x14ac:dyDescent="0.3">
      <c r="A22" s="1" t="s">
        <v>38</v>
      </c>
      <c r="B22" s="28" t="s">
        <v>48</v>
      </c>
      <c r="C22" s="28"/>
      <c r="D22" s="28"/>
      <c r="E22" s="28"/>
      <c r="F22" s="28"/>
      <c r="G22" s="28"/>
      <c r="H22" s="28"/>
      <c r="I22" s="28"/>
    </row>
    <row r="23" spans="1:9" x14ac:dyDescent="0.3">
      <c r="B23" s="28"/>
      <c r="C23" s="28"/>
      <c r="D23" s="28"/>
      <c r="E23" s="28"/>
      <c r="F23" s="28"/>
      <c r="G23" s="28"/>
      <c r="H23" s="28"/>
      <c r="I23" s="28"/>
    </row>
    <row r="25" spans="1:9" x14ac:dyDescent="0.3">
      <c r="A25" s="1" t="s">
        <v>86</v>
      </c>
      <c r="B25" s="28" t="s">
        <v>87</v>
      </c>
      <c r="C25" s="28"/>
      <c r="D25" s="28"/>
      <c r="E25" s="28"/>
      <c r="F25" s="28"/>
      <c r="G25" s="28"/>
      <c r="H25" s="28"/>
      <c r="I25" s="28"/>
    </row>
    <row r="26" spans="1:9" x14ac:dyDescent="0.3">
      <c r="B26" s="28"/>
      <c r="C26" s="28"/>
      <c r="D26" s="28"/>
      <c r="E26" s="28"/>
      <c r="F26" s="28"/>
      <c r="G26" s="28"/>
      <c r="H26" s="28"/>
      <c r="I26" s="28"/>
    </row>
    <row r="28" spans="1:9" x14ac:dyDescent="0.3">
      <c r="A28" s="1" t="s">
        <v>88</v>
      </c>
      <c r="B28" s="28" t="s">
        <v>89</v>
      </c>
      <c r="C28" s="28"/>
      <c r="D28" s="28"/>
      <c r="E28" s="28"/>
      <c r="F28" s="28"/>
      <c r="G28" s="28"/>
      <c r="H28" s="28"/>
      <c r="I28" s="28"/>
    </row>
    <row r="29" spans="1:9" x14ac:dyDescent="0.3">
      <c r="B29" s="28"/>
      <c r="C29" s="28"/>
      <c r="D29" s="28"/>
      <c r="E29" s="28"/>
      <c r="F29" s="28"/>
      <c r="G29" s="28"/>
      <c r="H29" s="28"/>
      <c r="I29" s="28"/>
    </row>
  </sheetData>
  <mergeCells count="8">
    <mergeCell ref="B10:I10"/>
    <mergeCell ref="B25:I26"/>
    <mergeCell ref="B28:I29"/>
    <mergeCell ref="B14:I15"/>
    <mergeCell ref="B17:I18"/>
    <mergeCell ref="B20:I20"/>
    <mergeCell ref="B22:I23"/>
    <mergeCell ref="B11:I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CC1C8-5BBF-4A59-945C-5C7DEFECCD3E}">
  <dimension ref="A1:P29"/>
  <sheetViews>
    <sheetView workbookViewId="0">
      <selection activeCell="I18" sqref="I18"/>
    </sheetView>
  </sheetViews>
  <sheetFormatPr defaultRowHeight="14.4" x14ac:dyDescent="0.3"/>
  <cols>
    <col min="1" max="1" width="36.109375" style="1" customWidth="1"/>
    <col min="8" max="8" width="21.109375" customWidth="1"/>
  </cols>
  <sheetData>
    <row r="1" spans="1:16" x14ac:dyDescent="0.3">
      <c r="A1" s="23" t="s">
        <v>81</v>
      </c>
      <c r="B1" s="14" t="s">
        <v>39</v>
      </c>
      <c r="C1" s="14" t="s">
        <v>40</v>
      </c>
      <c r="D1" s="14" t="s">
        <v>49</v>
      </c>
      <c r="E1" s="14" t="s">
        <v>82</v>
      </c>
      <c r="F1" s="14" t="s">
        <v>83</v>
      </c>
      <c r="P1" s="7"/>
    </row>
    <row r="2" spans="1:16" x14ac:dyDescent="0.3">
      <c r="A2" s="6" t="s">
        <v>50</v>
      </c>
      <c r="B2" s="11"/>
      <c r="C2" s="11"/>
      <c r="D2" s="11"/>
      <c r="E2" s="11"/>
      <c r="F2" s="11"/>
      <c r="G2" s="30"/>
      <c r="H2" s="2" t="s">
        <v>67</v>
      </c>
      <c r="I2" s="3" t="s">
        <v>72</v>
      </c>
      <c r="J2" s="3"/>
      <c r="K2" s="3"/>
      <c r="L2" s="3"/>
      <c r="M2" s="3"/>
      <c r="N2" s="3"/>
    </row>
    <row r="3" spans="1:16" x14ac:dyDescent="0.3">
      <c r="A3" s="6" t="s">
        <v>6</v>
      </c>
      <c r="B3" s="15">
        <f>'P&amp;L'!G8</f>
        <v>415.06888500000008</v>
      </c>
      <c r="C3" s="15">
        <f>'P&amp;L'!H8</f>
        <v>457.57193882400014</v>
      </c>
      <c r="D3" s="15">
        <f>'P&amp;L'!I8</f>
        <v>504.4273053595777</v>
      </c>
      <c r="E3" s="15">
        <f>'P&amp;L'!J8</f>
        <v>600.80043489991306</v>
      </c>
      <c r="F3" s="15">
        <f>'P&amp;L'!K8</f>
        <v>649.76567034425614</v>
      </c>
      <c r="G3" s="41"/>
      <c r="H3" s="2" t="s">
        <v>71</v>
      </c>
      <c r="I3" s="3" t="s">
        <v>73</v>
      </c>
      <c r="J3" s="3"/>
      <c r="K3" s="3"/>
      <c r="L3" s="3"/>
      <c r="M3" s="3"/>
      <c r="N3" s="3"/>
    </row>
    <row r="4" spans="1:16" x14ac:dyDescent="0.3">
      <c r="A4" s="6" t="s">
        <v>51</v>
      </c>
      <c r="B4" s="15">
        <f>B3*0.25</f>
        <v>103.76722125000002</v>
      </c>
      <c r="C4" s="15">
        <f>C3*0.25</f>
        <v>114.39298470600004</v>
      </c>
      <c r="D4" s="15">
        <f>D3*0.25</f>
        <v>126.10682633989443</v>
      </c>
      <c r="E4" s="15">
        <f>E3*0.25</f>
        <v>150.20010872497826</v>
      </c>
      <c r="F4" s="15">
        <f>F3*0.25</f>
        <v>162.44141758606403</v>
      </c>
      <c r="G4" s="41"/>
      <c r="H4" s="2" t="s">
        <v>70</v>
      </c>
      <c r="I4" s="31" t="s">
        <v>90</v>
      </c>
      <c r="J4" s="31"/>
      <c r="K4" s="31"/>
      <c r="L4" s="31"/>
      <c r="M4" s="31"/>
      <c r="N4" s="31"/>
    </row>
    <row r="5" spans="1:16" x14ac:dyDescent="0.3">
      <c r="A5" s="6" t="s">
        <v>52</v>
      </c>
      <c r="B5" s="15">
        <f>B3-B4</f>
        <v>311.30166375000005</v>
      </c>
      <c r="C5" s="15">
        <f>C3-C4</f>
        <v>343.17895411800009</v>
      </c>
      <c r="D5" s="15">
        <f>D3-D4</f>
        <v>378.32047901968326</v>
      </c>
      <c r="E5" s="15">
        <f>E3-E4</f>
        <v>450.60032617493482</v>
      </c>
      <c r="F5" s="15">
        <f>F3-F4</f>
        <v>487.32425275819207</v>
      </c>
      <c r="G5" s="41"/>
      <c r="I5" s="31"/>
      <c r="J5" s="31"/>
      <c r="K5" s="31"/>
      <c r="L5" s="31"/>
      <c r="M5" s="31"/>
      <c r="N5" s="31"/>
    </row>
    <row r="6" spans="1:16" x14ac:dyDescent="0.3">
      <c r="A6" s="6" t="s">
        <v>53</v>
      </c>
      <c r="B6" s="15">
        <f>'P&amp;L'!G7</f>
        <v>415.06888500000008</v>
      </c>
      <c r="C6" s="15">
        <f>'P&amp;L'!H7</f>
        <v>457.57193882400014</v>
      </c>
      <c r="D6" s="15">
        <f>'P&amp;L'!I7</f>
        <v>504.4273053595777</v>
      </c>
      <c r="E6" s="15">
        <f>'P&amp;L'!J7</f>
        <v>550.73373199158698</v>
      </c>
      <c r="F6" s="15">
        <f>'P&amp;L'!K7</f>
        <v>595.6185311489013</v>
      </c>
      <c r="G6" s="41"/>
      <c r="I6" s="31"/>
      <c r="J6" s="31"/>
      <c r="K6" s="31"/>
      <c r="L6" s="31"/>
      <c r="M6" s="31"/>
      <c r="N6" s="31"/>
    </row>
    <row r="7" spans="1:16" x14ac:dyDescent="0.3">
      <c r="A7" s="6" t="s">
        <v>54</v>
      </c>
      <c r="B7" s="15">
        <f>B6*1.15</f>
        <v>477.32921775000005</v>
      </c>
      <c r="C7" s="15">
        <f>C6*1.15</f>
        <v>526.2077296476001</v>
      </c>
      <c r="D7" s="15">
        <f>D6*1.15</f>
        <v>580.09140116351432</v>
      </c>
      <c r="E7" s="15">
        <f>E6*1.15</f>
        <v>633.34379179032499</v>
      </c>
      <c r="F7" s="15">
        <f>F6*1.15</f>
        <v>684.96131082123645</v>
      </c>
      <c r="G7" s="41"/>
      <c r="H7" s="2" t="s">
        <v>69</v>
      </c>
      <c r="I7" s="3" t="s">
        <v>74</v>
      </c>
      <c r="J7" s="3"/>
      <c r="K7" s="3"/>
      <c r="L7" s="3"/>
      <c r="M7" s="3"/>
    </row>
    <row r="8" spans="1:16" x14ac:dyDescent="0.3">
      <c r="A8" s="6" t="s">
        <v>55</v>
      </c>
      <c r="B8" s="15">
        <f>B5+B6-B7</f>
        <v>249.04133100000007</v>
      </c>
      <c r="C8" s="15">
        <f>C5+C6-C7</f>
        <v>274.54316329440019</v>
      </c>
      <c r="D8" s="15">
        <f>D5+D6-D7</f>
        <v>302.6563832157467</v>
      </c>
      <c r="E8" s="15">
        <f>E5+E6-E7</f>
        <v>367.99026637619681</v>
      </c>
      <c r="F8" s="15">
        <f>F5+F6-F7</f>
        <v>397.98147308585692</v>
      </c>
      <c r="G8" s="41"/>
      <c r="H8" s="2" t="s">
        <v>68</v>
      </c>
      <c r="I8" s="3" t="s">
        <v>75</v>
      </c>
      <c r="J8" s="3"/>
      <c r="K8" s="3"/>
      <c r="L8" s="3"/>
      <c r="M8" s="3"/>
    </row>
    <row r="9" spans="1:16" x14ac:dyDescent="0.3">
      <c r="A9" s="6"/>
      <c r="B9" s="11"/>
      <c r="C9" s="11"/>
      <c r="D9" s="11"/>
      <c r="E9" s="11"/>
      <c r="F9" s="11"/>
      <c r="G9" s="30"/>
    </row>
    <row r="10" spans="1:16" x14ac:dyDescent="0.3">
      <c r="A10" s="6" t="s">
        <v>56</v>
      </c>
      <c r="B10" s="11"/>
      <c r="C10" s="11"/>
      <c r="D10" s="11"/>
      <c r="E10" s="11"/>
      <c r="F10" s="11"/>
      <c r="G10" s="30"/>
    </row>
    <row r="11" spans="1:16" x14ac:dyDescent="0.3">
      <c r="A11" s="6" t="s">
        <v>57</v>
      </c>
      <c r="B11" s="20">
        <v>0.11</v>
      </c>
      <c r="C11" s="20">
        <v>0.11</v>
      </c>
      <c r="D11" s="20">
        <v>0.11</v>
      </c>
      <c r="E11" s="20">
        <v>0.11</v>
      </c>
      <c r="F11" s="20">
        <v>0.11</v>
      </c>
      <c r="G11" s="40"/>
    </row>
    <row r="12" spans="1:16" x14ac:dyDescent="0.3">
      <c r="A12" s="6" t="s">
        <v>58</v>
      </c>
      <c r="B12" s="20">
        <v>0.05</v>
      </c>
      <c r="C12" s="20">
        <v>0.05</v>
      </c>
      <c r="D12" s="20">
        <v>0.05</v>
      </c>
      <c r="E12" s="20">
        <v>0.05</v>
      </c>
      <c r="F12" s="20">
        <v>0.05</v>
      </c>
      <c r="G12" s="40"/>
    </row>
    <row r="13" spans="1:16" x14ac:dyDescent="0.3">
      <c r="A13" s="6" t="s">
        <v>59</v>
      </c>
      <c r="B13" s="11">
        <f>F8*(1+B12)/(B11-B12)</f>
        <v>6964.6757790024967</v>
      </c>
      <c r="C13" s="11"/>
      <c r="D13" s="11"/>
      <c r="E13" s="11"/>
      <c r="F13" s="11"/>
      <c r="G13" s="30"/>
    </row>
    <row r="14" spans="1:16" x14ac:dyDescent="0.3">
      <c r="A14" s="6" t="s">
        <v>60</v>
      </c>
      <c r="B14" s="11">
        <f>B13/(1+B11)^5</f>
        <v>4133.1960905463084</v>
      </c>
      <c r="C14" s="11"/>
      <c r="D14" s="11"/>
      <c r="E14" s="11"/>
      <c r="F14" s="11"/>
      <c r="G14" s="30"/>
    </row>
    <row r="15" spans="1:16" x14ac:dyDescent="0.3">
      <c r="A15" s="6" t="s">
        <v>61</v>
      </c>
      <c r="B15" s="11">
        <f>B8/(1+B11)^1 + C8/(1+B11)^2 + D8/(1+B11)^3 + E8/(1+B11)^4 + F8/(1+B11)^5</f>
        <v>1147.0759089774256</v>
      </c>
      <c r="C15" s="11"/>
      <c r="D15" s="11"/>
      <c r="E15" s="11"/>
      <c r="F15" s="11"/>
      <c r="G15" s="30"/>
    </row>
    <row r="16" spans="1:16" x14ac:dyDescent="0.3">
      <c r="A16" s="6" t="s">
        <v>62</v>
      </c>
      <c r="B16" s="11">
        <f>B14+B15</f>
        <v>5280.2719995237339</v>
      </c>
      <c r="C16" s="11"/>
      <c r="D16" s="11"/>
      <c r="E16" s="11"/>
      <c r="F16" s="11"/>
      <c r="G16" s="30"/>
    </row>
    <row r="17" spans="1:9" x14ac:dyDescent="0.3">
      <c r="A17" s="6" t="s">
        <v>63</v>
      </c>
      <c r="B17" s="11">
        <v>1246</v>
      </c>
      <c r="C17" s="11"/>
      <c r="D17" s="11"/>
      <c r="E17" s="11"/>
      <c r="F17" s="11"/>
      <c r="G17" s="30"/>
    </row>
    <row r="18" spans="1:9" x14ac:dyDescent="0.3">
      <c r="A18" s="6" t="s">
        <v>64</v>
      </c>
      <c r="B18" s="11">
        <f>B16-B17</f>
        <v>4034.2719995237339</v>
      </c>
      <c r="C18" s="11"/>
      <c r="D18" s="11"/>
      <c r="E18" s="11"/>
      <c r="F18" s="11"/>
      <c r="G18" s="30"/>
    </row>
    <row r="19" spans="1:9" x14ac:dyDescent="0.3">
      <c r="A19" s="6" t="s">
        <v>65</v>
      </c>
      <c r="B19" s="11">
        <v>12.85</v>
      </c>
      <c r="C19" s="11"/>
      <c r="D19" s="11"/>
      <c r="E19" s="11"/>
      <c r="F19" s="11"/>
      <c r="G19" s="30"/>
    </row>
    <row r="20" spans="1:9" ht="15.6" customHeight="1" x14ac:dyDescent="0.3">
      <c r="A20" s="6" t="s">
        <v>66</v>
      </c>
      <c r="B20" s="15">
        <f>B18/B19</f>
        <v>313.95112836760575</v>
      </c>
      <c r="C20" s="11"/>
      <c r="D20" s="11"/>
      <c r="E20" s="11"/>
      <c r="F20" s="11"/>
      <c r="G20" s="30"/>
    </row>
    <row r="21" spans="1:9" ht="9" customHeight="1" x14ac:dyDescent="0.3"/>
    <row r="23" spans="1:9" x14ac:dyDescent="0.3">
      <c r="A23" s="5" t="s">
        <v>77</v>
      </c>
      <c r="B23" s="12"/>
      <c r="C23" s="12"/>
    </row>
    <row r="24" spans="1:9" x14ac:dyDescent="0.3">
      <c r="I24" s="1"/>
    </row>
    <row r="25" spans="1:9" x14ac:dyDescent="0.3">
      <c r="A25" s="8" t="s">
        <v>76</v>
      </c>
      <c r="B25" s="9">
        <v>0.04</v>
      </c>
      <c r="C25" s="9">
        <v>0.05</v>
      </c>
      <c r="D25" s="9">
        <v>0.06</v>
      </c>
      <c r="E25" s="9">
        <v>7.0000000000000007E-2</v>
      </c>
    </row>
    <row r="26" spans="1:9" x14ac:dyDescent="0.3">
      <c r="A26" s="10">
        <v>0.1</v>
      </c>
      <c r="B26" s="11">
        <f>(((F8*(1+4%)/(10%-4%))/(1+10%)^5)+(B8/(1+10%)^1+C8/(1+10%)^2+D8/(1+10%)^3+E8/(1+10%)^4+F8/(1+10%)^5)-1246)/12.85</f>
        <v>328.13026679737055</v>
      </c>
      <c r="C26" s="11">
        <f>(((D8*(1+5%)/(10%-5%))/(1+10%)^3)+(B8/(1+10%)^1+C8/(1+10%)^2+D8/(1+10%)^3)-1246)/12.85</f>
        <v>327.61721656168328</v>
      </c>
      <c r="D26" s="11">
        <f>(((D8*(1+6%)/(10%-6%))/(1+10%)^3)+(B8/(1+10%)^1+C8/(1+10%)^2+D8/(1+10%)^3)-1246)/12.85</f>
        <v>424.94376999633823</v>
      </c>
      <c r="E26" s="11">
        <f>(((F8*(1+7%)/(10%-7%))/(1+10%)^5)+(B8/(1+10%)^1+C8/(1+10%)^2+D8/(1+10%)^3+E8/(1+10%)^4+F8/(1+10%)^5)-1246)/12.85</f>
        <v>680.69408145839782</v>
      </c>
    </row>
    <row r="27" spans="1:9" x14ac:dyDescent="0.3">
      <c r="A27" s="10">
        <v>0.11</v>
      </c>
      <c r="B27" s="11">
        <f>(((F8*(1+4%)/(11%-4%))/(1+11%)^5)+(B8/(1+11%)^1+C8/(1+11%)^2+D8/(1+11%)^3+E8/(1+11%)^4+F8/(1+11%)^5)-1246)/12.85</f>
        <v>265.3754894093866</v>
      </c>
      <c r="C27" s="11">
        <f>(((F8*(1+5%)/(11%-5%))/(1+11%)^5)+(B8/(1+11%)^1+C8/(1+11%)^2+D8/(1+11%)^3+E8/(1+11%)^4+F8/(1+11%)^5)-1246)/12.85</f>
        <v>313.95112836760575</v>
      </c>
      <c r="D27" s="11">
        <f>(((F8*(1+6%)/(11%-6%))/(1+11%)^5)+(B8/(1+11%)^1+C8/(1+11%)^2+D8/(1+11%)^3+E8/(1+11%)^4+F8/(1+11%)^5)-1246)/12.85</f>
        <v>381.95702290911248</v>
      </c>
      <c r="E27" s="11">
        <f>(((F8*(1+7%)/(11%-7%))/(1+11%)^5)+(B8/(1+11%)^1+C8/(1+11%)^2+D8/(1+11%)^3+E8/(1+11%)^4+F8/(1+11%)^5)-1246)/12.85</f>
        <v>483.96586472137272</v>
      </c>
    </row>
    <row r="28" spans="1:9" x14ac:dyDescent="0.3">
      <c r="A28" s="10">
        <v>0.12</v>
      </c>
      <c r="B28" s="11">
        <f>(((F8*(1+4%)/(12%-4%))/(1+12%)^5)+(B8/(1+12%)^1+C8/(1+12%)^2+D8/(1+12%)^3+E8/(1+12%)^4+F8/(1+12%)^5)-1246)/12.85</f>
        <v>218.37097472852778</v>
      </c>
      <c r="C28" s="11">
        <f>(((F8*(1+5%)/(12%-5%))/(1+12%)^5)+(B8/(1+12%)^1+C8/(1+12%)^2+D8/(1+12%)^3+E8/(1+12%)^4+F8/(1+12%)^5)-1246)/12.85</f>
        <v>253.51889315768943</v>
      </c>
      <c r="D28" s="11">
        <f>(((F8*(1+6%)/(12%-6%))/(1+12%)^5)+(B8/(1+12%)^1+C8/(1+12%)^2+D8/(1+12%)^3+E8/(1+12%)^4+F8/(1+12%)^5)-1246)/12.85</f>
        <v>300.38278439657176</v>
      </c>
      <c r="E28" s="11">
        <f>(((F8*(1+7%)/(12%-7%))/(1+12%)^5)+(B8/(1+12%)^1+C8/(1+12%)^2+D8/(1+12%)^3+E8/(1+12%)^4+F8/(1+12%)^5)-1246)/12.85</f>
        <v>365.99223213100709</v>
      </c>
    </row>
    <row r="29" spans="1:9" x14ac:dyDescent="0.3">
      <c r="A29" s="10">
        <v>0.13</v>
      </c>
      <c r="B29" s="11">
        <f>(((F8*(1+4%)/(13%-4%))/(1+13%)^5)+(B8/(1+13%)^1+C8/(1+13%)^2+D8/(1+13%)^3+E8/(1+13%)^4+F8/(1+13%)^5)-1246)/12.85</f>
        <v>181.86419891243611</v>
      </c>
      <c r="C29" s="11">
        <f>(((F8*(1+5%)/(13%-5%))/(1+13%)^5)+(B8/(1+13%)^1+C8/(1+13%)^2+D8/(1+13%)^3+E8/(1+13%)^4+F8/(1+13%)^5)-1246)/12.85</f>
        <v>208.24654767086477</v>
      </c>
      <c r="D29" s="11">
        <f>(((F8*(1+6%)/(13%-6%))/(1+13%)^5)+(B8/(1+13%)^1+C8/(1+13%)^2+D8/(1+13%)^3+E8/(1+13%)^4+F8/(1+13%)^5)-1246)/12.85</f>
        <v>242.16671036027299</v>
      </c>
      <c r="E29" s="11">
        <f>(((F8*(1+7%)/(13%-7%))/(1+13%)^5)+(B8/(1+13%)^1+C8/(1+13%)^2+D8/(1+13%)^3+E8/(1+13%)^4+F8/(1+13%)^5)-1246)/12.85</f>
        <v>287.39359394615076</v>
      </c>
    </row>
  </sheetData>
  <mergeCells count="1">
    <mergeCell ref="I4:N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Investment summary</vt:lpstr>
      <vt:lpstr>P&amp;L</vt:lpstr>
      <vt:lpstr>Balance Sheet</vt:lpstr>
      <vt:lpstr>Cash flow</vt:lpstr>
      <vt:lpstr>Assumptions</vt:lpstr>
      <vt:lpstr>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JAAN MADAR</dc:creator>
  <cp:lastModifiedBy>JAAN MADAR</cp:lastModifiedBy>
  <dcterms:created xsi:type="dcterms:W3CDTF">2026-03-29T15:21:17Z</dcterms:created>
  <dcterms:modified xsi:type="dcterms:W3CDTF">2026-03-31T05:10:16Z</dcterms:modified>
</cp:coreProperties>
</file>